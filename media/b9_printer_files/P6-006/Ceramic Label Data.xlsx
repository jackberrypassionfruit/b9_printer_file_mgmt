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ly6floor1\Desktop\"/>
    </mc:Choice>
  </mc:AlternateContent>
  <xr:revisionPtr revIDLastSave="0" documentId="13_ncr:1_{498D0D20-D67F-4C7F-852A-09A3F02FD1C1}" xr6:coauthVersionLast="47" xr6:coauthVersionMax="47" xr10:uidLastSave="{00000000-0000-0000-0000-000000000000}"/>
  <bookViews>
    <workbookView xWindow="-120" yWindow="-120" windowWidth="25440" windowHeight="15270" xr2:uid="{8FFD0146-1813-4ABA-B23C-DB760FB0FF88}"/>
  </bookViews>
  <sheets>
    <sheet name="Cartridge Label" sheetId="7" r:id="rId1"/>
    <sheet name="&lt;&gt;" sheetId="4" r:id="rId2"/>
    <sheet name="Die Label" sheetId="3" r:id="rId3"/>
    <sheet name="Sheet1" sheetId="5" r:id="rId4"/>
    <sheet name="Sheet2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7" l="1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" i="7"/>
  <c r="D2" i="7"/>
  <c r="A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A15" i="7"/>
  <c r="A16" i="7"/>
  <c r="A17" i="7"/>
  <c r="A18" i="7"/>
  <c r="A19" i="7"/>
  <c r="A20" i="7"/>
  <c r="A21" i="7"/>
  <c r="A22" i="7"/>
  <c r="A23" i="7"/>
  <c r="A24" i="7"/>
  <c r="A25" i="7"/>
  <c r="A14" i="7"/>
  <c r="A3" i="7"/>
  <c r="A4" i="7"/>
  <c r="A5" i="7"/>
  <c r="A6" i="7"/>
  <c r="A7" i="7"/>
  <c r="A8" i="7"/>
  <c r="A9" i="7"/>
  <c r="A10" i="7"/>
  <c r="A11" i="7"/>
  <c r="A12" i="7"/>
  <c r="A13" i="7"/>
  <c r="I14" i="7" a="1"/>
  <c r="I14" i="7" s="1"/>
  <c r="I2" i="7" a="1"/>
  <c r="I2" i="7" s="1"/>
  <c r="C2" i="7" l="1"/>
  <c r="C25" i="7"/>
  <c r="C21" i="7"/>
  <c r="C17" i="7"/>
  <c r="C13" i="7"/>
  <c r="C9" i="7"/>
  <c r="C5" i="7"/>
  <c r="C16" i="7"/>
  <c r="C8" i="7"/>
  <c r="C4" i="7"/>
  <c r="C22" i="7"/>
  <c r="C18" i="7"/>
  <c r="C14" i="7"/>
  <c r="C10" i="7"/>
  <c r="C6" i="7"/>
  <c r="C24" i="7"/>
  <c r="C20" i="7"/>
  <c r="C12" i="7"/>
  <c r="C23" i="7"/>
  <c r="C19" i="7"/>
  <c r="C15" i="7"/>
  <c r="C11" i="7"/>
  <c r="C7" i="7"/>
  <c r="C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<sst xmlns="http://schemas.openxmlformats.org/spreadsheetml/2006/main" count="57" uniqueCount="33">
  <si>
    <t>Oracle Job Number</t>
  </si>
  <si>
    <t>Die Serial Number</t>
  </si>
  <si>
    <t>Cart ID</t>
  </si>
  <si>
    <t>EXP Date</t>
  </si>
  <si>
    <t>Oracle #</t>
  </si>
  <si>
    <t>Catalyze  Date</t>
  </si>
  <si>
    <t>Trial ID</t>
  </si>
  <si>
    <t>00001-586A</t>
  </si>
  <si>
    <t>00001-586B</t>
  </si>
  <si>
    <t>00001-587A</t>
  </si>
  <si>
    <t>00001-587B</t>
  </si>
  <si>
    <t>00001-588A</t>
  </si>
  <si>
    <t>00001-588B</t>
  </si>
  <si>
    <t>00001-552A</t>
  </si>
  <si>
    <t>00001-552B</t>
  </si>
  <si>
    <t>00001-553A</t>
  </si>
  <si>
    <t>00001-553B</t>
  </si>
  <si>
    <t>00002-586A</t>
  </si>
  <si>
    <t>00002-586B</t>
  </si>
  <si>
    <t>00002-587A</t>
  </si>
  <si>
    <t>00002-587B</t>
  </si>
  <si>
    <t>00002-588A</t>
  </si>
  <si>
    <t>00002-588B</t>
  </si>
  <si>
    <t>00002-552A</t>
  </si>
  <si>
    <t>00002-552B</t>
  </si>
  <si>
    <t>00002-553A</t>
  </si>
  <si>
    <t>00002-553B</t>
  </si>
  <si>
    <t>Batch Letters</t>
  </si>
  <si>
    <t>Catalyze Date</t>
  </si>
  <si>
    <t>Mix ID</t>
  </si>
  <si>
    <t>NOT FOR PRODUCTION</t>
  </si>
  <si>
    <t>01222026</t>
  </si>
  <si>
    <t>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</si>
</sst>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3" fillId="2" borderId="1" applyNumberFormat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49" fontId="2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Border="1" applyAlignment="1">
      <alignment horizontal="center"/>
    </xf>
    <xf numFmtId="14" fontId="0" fillId="0" borderId="0" xfId="0" applyNumberFormat="1"/>
    <xf numFmtId="0" fontId="0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vertical="center" wrapText="1"/>
    </xf>
    <xf numFmtId="0" fontId="3" fillId="2" borderId="1" xfId="1" applyAlignment="1">
      <alignment horizontal="center"/>
    </xf>
    <xf numFmtId="49" fontId="3" fillId="2" borderId="1" xfId="1" applyNumberFormat="1" applyAlignment="1">
      <alignment horizontal="center"/>
    </xf>
    <xf numFmtId="14" fontId="3" fillId="2" borderId="1" xfId="1" applyNumberFormat="1" applyAlignment="1">
      <alignment horizontal="center"/>
    </xf>
    <xf numFmtId="14" fontId="2" fillId="0" borderId="0" xfId="0" applyNumberFormat="1" applyFont="1" applyAlignment="1">
      <alignment horizontal="center"/>
    </xf>
  </cellXfs>
  <cellStyles count="2">
    <cellStyle name="Input" xfId="1" builtinId="20"/>
    <cellStyle name="Normal" xfId="0" builtinId="0"/>
  </cellStyles>
  <dxfs count="4"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D535D2-B561-4136-8567-95346620407F}" name="Table1" displayName="Table1" ref="A1:B25" totalsRowShown="0" headerRowDxfId="3" dataDxfId="2">
  <autoFilter ref="A1:B25" xr:uid="{EDD535D2-B561-4136-8567-95346620407F}"/>
  <tableColumns count="2">
    <tableColumn id="1" xr3:uid="{92EFB91F-9A86-44FE-B576-B8F26FE0C617}" name="Die Serial Number" dataDxfId="1"/>
    <tableColumn id="2" xr3:uid="{F5AA9FAF-6E6A-403E-8A63-6BFB97B6B4A7}" name="Oracle Job Numb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300CA-1CBB-4BD3-AFD2-75B3E6E8543D}">
  <dimension ref="A1:K31"/>
  <sheetViews>
    <sheetView tabSelected="1" workbookViewId="0">
      <selection activeCell="K13" sqref="K13"/>
    </sheetView>
  </sheetViews>
  <sheetFormatPr defaultRowHeight="15" x14ac:dyDescent="0.25"/>
  <cols>
    <col min="1" max="1" width="17.5703125" style="12" customWidth="1"/>
    <col min="2" max="2" width="15.85546875" style="12" customWidth="1"/>
    <col min="3" max="4" width="15.7109375" style="12" customWidth="1"/>
    <col min="5" max="5" width="12.85546875" style="4" customWidth="1"/>
    <col min="6" max="6" width="12.28515625" style="4" customWidth="1"/>
    <col min="7" max="7" width="15.140625" style="4" bestFit="1" customWidth="1"/>
    <col min="8" max="8" width="15.140625" style="4" customWidth="1"/>
    <col min="9" max="9" width="9.140625" style="4" hidden="1" customWidth="1"/>
    <col min="10" max="10" width="9.7109375" style="4" bestFit="1" customWidth="1"/>
    <col min="11" max="12" width="21" style="4" customWidth="1"/>
    <col min="13" max="16384" width="9.140625" style="4"/>
  </cols>
  <sheetData>
    <row r="1" spans="1:11" x14ac:dyDescent="0.25">
      <c r="A1" s="7" t="s">
        <v>2</v>
      </c>
      <c r="B1" s="7" t="s">
        <v>5</v>
      </c>
      <c r="C1" s="7" t="s">
        <v>3</v>
      </c>
      <c r="D1" s="7" t="s">
        <v>4</v>
      </c>
      <c r="F1"/>
      <c r="G1"/>
      <c r="H1"/>
      <c r="I1"/>
      <c r="J1"/>
      <c r="K1"/>
    </row>
    <row r="2" spans="1:11" s="6" customFormat="1" x14ac:dyDescent="0.25">
      <c r="A2" s="9" t="str">
        <f>_xlfn.CONCAT("P6-",$H$2,"-",LEFT($H$3),I2)</f>
        <v>P6-01222026-J1</v>
      </c>
      <c r="B2" s="20">
        <f>$H$4</f>
        <v>46052</v>
      </c>
      <c r="C2" s="10">
        <f>B2+13</f>
        <v>46065</v>
      </c>
      <c r="D2" s="1">
        <f>$H$5</f>
        <v>6286727</v>
      </c>
      <c r="F2"/>
      <c r="G2" t="s">
        <v>29</v>
      </c>
      <c r="H2" s="18" t="s">
        <v>31</v>
      </c>
      <c r="I2" cm="1">
        <f t="array" ref="I2:I13">_xlfn.SEQUENCE(12,1,1,1)</f>
        <v>1</v>
      </c>
      <c r="J2"/>
      <c r="K2"/>
    </row>
    <row r="3" spans="1:11" x14ac:dyDescent="0.25">
      <c r="A3" s="9" t="str">
        <f t="shared" ref="A3:A13" si="0">_xlfn.CONCAT("P6-",$H$2,"-",LEFT($H$3),I3)</f>
        <v>P6-01222026-J2</v>
      </c>
      <c r="B3" s="20">
        <f t="shared" ref="B3:B25" si="1">$H$4</f>
        <v>46052</v>
      </c>
      <c r="C3" s="10">
        <f t="shared" ref="C3:C25" si="2">B3+13</f>
        <v>46065</v>
      </c>
      <c r="D3" s="1">
        <f t="shared" ref="D3:D25" si="3">$H$5</f>
        <v>6286727</v>
      </c>
      <c r="E3" s="6"/>
      <c r="F3"/>
      <c r="G3" t="s">
        <v>27</v>
      </c>
      <c r="H3" s="17" t="s">
        <v>32</v>
      </c>
      <c r="I3">
        <v>2</v>
      </c>
      <c r="J3"/>
      <c r="K3"/>
    </row>
    <row r="4" spans="1:11" x14ac:dyDescent="0.25">
      <c r="A4" s="9" t="str">
        <f t="shared" si="0"/>
        <v>P6-01222026-J3</v>
      </c>
      <c r="B4" s="20">
        <f t="shared" si="1"/>
        <v>46052</v>
      </c>
      <c r="C4" s="10">
        <f t="shared" si="2"/>
        <v>46065</v>
      </c>
      <c r="D4" s="1">
        <f t="shared" si="3"/>
        <v>6286727</v>
      </c>
      <c r="E4" s="6"/>
      <c r="F4"/>
      <c r="G4" s="4" t="s">
        <v>28</v>
      </c>
      <c r="H4" s="19">
        <v>46052</v>
      </c>
      <c r="I4">
        <v>3</v>
      </c>
      <c r="J4"/>
      <c r="K4"/>
    </row>
    <row r="5" spans="1:11" x14ac:dyDescent="0.25">
      <c r="A5" s="9" t="str">
        <f t="shared" si="0"/>
        <v>P6-01222026-J4</v>
      </c>
      <c r="B5" s="20">
        <f t="shared" si="1"/>
        <v>46052</v>
      </c>
      <c r="C5" s="10">
        <f t="shared" si="2"/>
        <v>46065</v>
      </c>
      <c r="D5" s="1">
        <f t="shared" si="3"/>
        <v>6286727</v>
      </c>
      <c r="E5" s="6"/>
      <c r="F5"/>
      <c r="G5" t="s">
        <v>4</v>
      </c>
      <c r="H5" s="17">
        <v>6286727</v>
      </c>
      <c r="I5">
        <v>4</v>
      </c>
      <c r="J5"/>
      <c r="K5"/>
    </row>
    <row r="6" spans="1:11" x14ac:dyDescent="0.25">
      <c r="A6" s="9" t="str">
        <f t="shared" si="0"/>
        <v>P6-01222026-J5</v>
      </c>
      <c r="B6" s="20">
        <f t="shared" si="1"/>
        <v>46052</v>
      </c>
      <c r="C6" s="10">
        <f t="shared" si="2"/>
        <v>46065</v>
      </c>
      <c r="D6" s="1">
        <f t="shared" si="3"/>
        <v>6286727</v>
      </c>
      <c r="E6" s="6"/>
      <c r="F6"/>
      <c r="G6"/>
      <c r="H6"/>
      <c r="I6">
        <v>5</v>
      </c>
      <c r="J6"/>
      <c r="K6"/>
    </row>
    <row r="7" spans="1:11" x14ac:dyDescent="0.25">
      <c r="A7" s="9" t="str">
        <f t="shared" si="0"/>
        <v>P6-01222026-J6</v>
      </c>
      <c r="B7" s="20">
        <f t="shared" si="1"/>
        <v>46052</v>
      </c>
      <c r="C7" s="10">
        <f t="shared" si="2"/>
        <v>46065</v>
      </c>
      <c r="D7" s="1">
        <f t="shared" si="3"/>
        <v>6286727</v>
      </c>
      <c r="E7" s="6"/>
      <c r="F7"/>
      <c r="G7"/>
      <c r="H7"/>
      <c r="I7">
        <v>6</v>
      </c>
      <c r="J7"/>
      <c r="K7"/>
    </row>
    <row r="8" spans="1:11" x14ac:dyDescent="0.25">
      <c r="A8" s="9" t="str">
        <f t="shared" si="0"/>
        <v>P6-01222026-J7</v>
      </c>
      <c r="B8" s="20">
        <f t="shared" si="1"/>
        <v>46052</v>
      </c>
      <c r="C8" s="10">
        <f t="shared" si="2"/>
        <v>46065</v>
      </c>
      <c r="D8" s="1">
        <f t="shared" si="3"/>
        <v>6286727</v>
      </c>
      <c r="E8" s="6"/>
      <c r="F8"/>
      <c r="G8"/>
      <c r="H8"/>
      <c r="I8">
        <v>7</v>
      </c>
      <c r="J8"/>
      <c r="K8"/>
    </row>
    <row r="9" spans="1:11" x14ac:dyDescent="0.25">
      <c r="A9" s="9" t="str">
        <f t="shared" si="0"/>
        <v>P6-01222026-J8</v>
      </c>
      <c r="B9" s="20">
        <f t="shared" si="1"/>
        <v>46052</v>
      </c>
      <c r="C9" s="10">
        <f t="shared" si="2"/>
        <v>46065</v>
      </c>
      <c r="D9" s="1">
        <f t="shared" si="3"/>
        <v>6286727</v>
      </c>
      <c r="E9" s="6"/>
      <c r="F9"/>
      <c r="G9"/>
      <c r="H9"/>
      <c r="I9">
        <v>8</v>
      </c>
      <c r="J9"/>
      <c r="K9"/>
    </row>
    <row r="10" spans="1:11" x14ac:dyDescent="0.25">
      <c r="A10" s="9" t="str">
        <f t="shared" si="0"/>
        <v>P6-01222026-J9</v>
      </c>
      <c r="B10" s="20">
        <f t="shared" si="1"/>
        <v>46052</v>
      </c>
      <c r="C10" s="10">
        <f t="shared" si="2"/>
        <v>46065</v>
      </c>
      <c r="D10" s="1">
        <f t="shared" si="3"/>
        <v>6286727</v>
      </c>
      <c r="E10" s="6"/>
      <c r="F10"/>
      <c r="G10"/>
      <c r="H10"/>
      <c r="I10">
        <v>9</v>
      </c>
      <c r="J10"/>
      <c r="K10"/>
    </row>
    <row r="11" spans="1:11" x14ac:dyDescent="0.25">
      <c r="A11" s="9" t="str">
        <f t="shared" si="0"/>
        <v>P6-01222026-J10</v>
      </c>
      <c r="B11" s="20">
        <f t="shared" si="1"/>
        <v>46052</v>
      </c>
      <c r="C11" s="10">
        <f t="shared" si="2"/>
        <v>46065</v>
      </c>
      <c r="D11" s="1">
        <f t="shared" si="3"/>
        <v>6286727</v>
      </c>
      <c r="E11" s="6"/>
      <c r="F11"/>
      <c r="G11"/>
      <c r="H11"/>
      <c r="I11">
        <v>10</v>
      </c>
      <c r="J11"/>
      <c r="K11"/>
    </row>
    <row r="12" spans="1:11" x14ac:dyDescent="0.25">
      <c r="A12" s="9" t="str">
        <f t="shared" si="0"/>
        <v>P6-01222026-J11</v>
      </c>
      <c r="B12" s="20">
        <f t="shared" si="1"/>
        <v>46052</v>
      </c>
      <c r="C12" s="10">
        <f t="shared" si="2"/>
        <v>46065</v>
      </c>
      <c r="D12" s="1">
        <f t="shared" si="3"/>
        <v>6286727</v>
      </c>
      <c r="E12" s="6"/>
      <c r="F12"/>
      <c r="G12"/>
      <c r="H12"/>
      <c r="I12">
        <v>11</v>
      </c>
      <c r="J12"/>
      <c r="K12"/>
    </row>
    <row r="13" spans="1:11" x14ac:dyDescent="0.25">
      <c r="A13" s="9" t="str">
        <f t="shared" si="0"/>
        <v>P6-01222026-J12</v>
      </c>
      <c r="B13" s="20">
        <f t="shared" si="1"/>
        <v>46052</v>
      </c>
      <c r="C13" s="10">
        <f t="shared" si="2"/>
        <v>46065</v>
      </c>
      <c r="D13" s="1">
        <f t="shared" si="3"/>
        <v>6286727</v>
      </c>
      <c r="E13" s="6"/>
      <c r="F13"/>
      <c r="G13"/>
      <c r="H13"/>
      <c r="I13">
        <v>12</v>
      </c>
      <c r="J13"/>
      <c r="K13"/>
    </row>
    <row r="14" spans="1:11" x14ac:dyDescent="0.25">
      <c r="A14" s="9" t="str">
        <f>_xlfn.CONCAT("P6-",$H$2,"-",RIGHT($H$3),I14)</f>
        <v>P6-01222026-K1</v>
      </c>
      <c r="B14" s="20">
        <f t="shared" si="1"/>
        <v>46052</v>
      </c>
      <c r="C14" s="10">
        <f t="shared" si="2"/>
        <v>46065</v>
      </c>
      <c r="D14" s="1">
        <f t="shared" si="3"/>
        <v>6286727</v>
      </c>
      <c r="E14" s="6"/>
      <c r="F14"/>
      <c r="G14"/>
      <c r="H14" s="20"/>
      <c r="I14" cm="1">
        <f t="array" ref="I14:I25">_xlfn.SEQUENCE(12,1,1,1)</f>
        <v>1</v>
      </c>
      <c r="J14"/>
      <c r="K14"/>
    </row>
    <row r="15" spans="1:11" x14ac:dyDescent="0.25">
      <c r="A15" s="9" t="str">
        <f t="shared" ref="A15:A25" si="4">_xlfn.CONCAT("P6-",$H$2,"-",RIGHT($H$3),I15)</f>
        <v>P6-01222026-K2</v>
      </c>
      <c r="B15" s="20">
        <f t="shared" si="1"/>
        <v>46052</v>
      </c>
      <c r="C15" s="10">
        <f t="shared" si="2"/>
        <v>46065</v>
      </c>
      <c r="D15" s="1">
        <f t="shared" si="3"/>
        <v>6286727</v>
      </c>
      <c r="E15" s="6"/>
      <c r="F15"/>
      <c r="G15"/>
      <c r="H15"/>
      <c r="I15">
        <v>2</v>
      </c>
      <c r="J15"/>
      <c r="K15"/>
    </row>
    <row r="16" spans="1:11" x14ac:dyDescent="0.25">
      <c r="A16" s="9" t="str">
        <f t="shared" si="4"/>
        <v>P6-01222026-K3</v>
      </c>
      <c r="B16" s="20">
        <f t="shared" si="1"/>
        <v>46052</v>
      </c>
      <c r="C16" s="10">
        <f t="shared" si="2"/>
        <v>46065</v>
      </c>
      <c r="D16" s="1">
        <f t="shared" si="3"/>
        <v>6286727</v>
      </c>
      <c r="E16" s="6"/>
      <c r="F16"/>
      <c r="G16"/>
      <c r="H16"/>
      <c r="I16">
        <v>3</v>
      </c>
      <c r="J16"/>
      <c r="K16"/>
    </row>
    <row r="17" spans="1:11" x14ac:dyDescent="0.25">
      <c r="A17" s="9" t="str">
        <f t="shared" si="4"/>
        <v>P6-01222026-K4</v>
      </c>
      <c r="B17" s="20">
        <f t="shared" si="1"/>
        <v>46052</v>
      </c>
      <c r="C17" s="10">
        <f t="shared" si="2"/>
        <v>46065</v>
      </c>
      <c r="D17" s="1">
        <f t="shared" si="3"/>
        <v>6286727</v>
      </c>
      <c r="E17" s="6"/>
      <c r="F17"/>
      <c r="G17"/>
      <c r="H17"/>
      <c r="I17">
        <v>4</v>
      </c>
      <c r="J17"/>
      <c r="K17"/>
    </row>
    <row r="18" spans="1:11" x14ac:dyDescent="0.25">
      <c r="A18" s="9" t="str">
        <f t="shared" si="4"/>
        <v>P6-01222026-K5</v>
      </c>
      <c r="B18" s="20">
        <f t="shared" si="1"/>
        <v>46052</v>
      </c>
      <c r="C18" s="10">
        <f t="shared" si="2"/>
        <v>46065</v>
      </c>
      <c r="D18" s="1">
        <f t="shared" si="3"/>
        <v>6286727</v>
      </c>
      <c r="E18" s="6"/>
      <c r="F18"/>
      <c r="G18"/>
      <c r="H18"/>
      <c r="I18">
        <v>5</v>
      </c>
      <c r="J18"/>
      <c r="K18"/>
    </row>
    <row r="19" spans="1:11" x14ac:dyDescent="0.25">
      <c r="A19" s="9" t="str">
        <f t="shared" si="4"/>
        <v>P6-01222026-K6</v>
      </c>
      <c r="B19" s="20">
        <f t="shared" si="1"/>
        <v>46052</v>
      </c>
      <c r="C19" s="10">
        <f t="shared" si="2"/>
        <v>46065</v>
      </c>
      <c r="D19" s="1">
        <f t="shared" si="3"/>
        <v>6286727</v>
      </c>
      <c r="E19" s="6"/>
      <c r="F19"/>
      <c r="G19"/>
      <c r="H19"/>
      <c r="I19">
        <v>6</v>
      </c>
      <c r="J19"/>
      <c r="K19"/>
    </row>
    <row r="20" spans="1:11" x14ac:dyDescent="0.25">
      <c r="A20" s="9" t="str">
        <f t="shared" si="4"/>
        <v>P6-01222026-K7</v>
      </c>
      <c r="B20" s="20">
        <f t="shared" si="1"/>
        <v>46052</v>
      </c>
      <c r="C20" s="10">
        <f t="shared" si="2"/>
        <v>46065</v>
      </c>
      <c r="D20" s="1">
        <f t="shared" si="3"/>
        <v>6286727</v>
      </c>
      <c r="E20" s="6"/>
      <c r="F20"/>
      <c r="G20"/>
      <c r="H20"/>
      <c r="I20">
        <v>7</v>
      </c>
      <c r="J20"/>
      <c r="K20"/>
    </row>
    <row r="21" spans="1:11" x14ac:dyDescent="0.25">
      <c r="A21" s="9" t="str">
        <f t="shared" si="4"/>
        <v>P6-01222026-K8</v>
      </c>
      <c r="B21" s="20">
        <f t="shared" si="1"/>
        <v>46052</v>
      </c>
      <c r="C21" s="10">
        <f t="shared" si="2"/>
        <v>46065</v>
      </c>
      <c r="D21" s="1">
        <f t="shared" si="3"/>
        <v>6286727</v>
      </c>
      <c r="E21" s="6"/>
      <c r="I21">
        <v>8</v>
      </c>
    </row>
    <row r="22" spans="1:11" x14ac:dyDescent="0.25">
      <c r="A22" s="9" t="str">
        <f t="shared" si="4"/>
        <v>P6-01222026-K9</v>
      </c>
      <c r="B22" s="20">
        <f t="shared" si="1"/>
        <v>46052</v>
      </c>
      <c r="C22" s="10">
        <f t="shared" si="2"/>
        <v>46065</v>
      </c>
      <c r="D22" s="1">
        <f t="shared" si="3"/>
        <v>6286727</v>
      </c>
      <c r="E22" s="6"/>
      <c r="I22">
        <v>9</v>
      </c>
    </row>
    <row r="23" spans="1:11" x14ac:dyDescent="0.25">
      <c r="A23" s="9" t="str">
        <f t="shared" si="4"/>
        <v>P6-01222026-K10</v>
      </c>
      <c r="B23" s="20">
        <f t="shared" si="1"/>
        <v>46052</v>
      </c>
      <c r="C23" s="10">
        <f t="shared" si="2"/>
        <v>46065</v>
      </c>
      <c r="D23" s="1">
        <f t="shared" si="3"/>
        <v>6286727</v>
      </c>
      <c r="E23" s="6"/>
      <c r="I23">
        <v>10</v>
      </c>
    </row>
    <row r="24" spans="1:11" x14ac:dyDescent="0.25">
      <c r="A24" s="9" t="str">
        <f t="shared" si="4"/>
        <v>P6-01222026-K11</v>
      </c>
      <c r="B24" s="20">
        <f t="shared" si="1"/>
        <v>46052</v>
      </c>
      <c r="C24" s="10">
        <f t="shared" si="2"/>
        <v>46065</v>
      </c>
      <c r="D24" s="1">
        <f t="shared" si="3"/>
        <v>6286727</v>
      </c>
      <c r="E24" s="6"/>
      <c r="I24">
        <v>11</v>
      </c>
    </row>
    <row r="25" spans="1:11" x14ac:dyDescent="0.25">
      <c r="A25" s="9" t="str">
        <f t="shared" si="4"/>
        <v>P6-01222026-K12</v>
      </c>
      <c r="B25" s="20">
        <f t="shared" si="1"/>
        <v>46052</v>
      </c>
      <c r="C25" s="10">
        <f t="shared" si="2"/>
        <v>46065</v>
      </c>
      <c r="D25" s="1">
        <f t="shared" si="3"/>
        <v>6286727</v>
      </c>
      <c r="E25" s="6"/>
      <c r="I25">
        <v>12</v>
      </c>
    </row>
    <row r="26" spans="1:11" x14ac:dyDescent="0.25">
      <c r="A26" s="8"/>
      <c r="B26" s="10"/>
      <c r="C26" s="10"/>
      <c r="D26" s="9"/>
      <c r="E26" s="5"/>
    </row>
    <row r="27" spans="1:11" x14ac:dyDescent="0.25">
      <c r="B27" s="10"/>
      <c r="C27" s="10"/>
      <c r="D27" s="9"/>
    </row>
    <row r="28" spans="1:11" x14ac:dyDescent="0.25">
      <c r="B28" s="10"/>
      <c r="C28" s="10"/>
      <c r="D28" s="9"/>
    </row>
    <row r="29" spans="1:11" x14ac:dyDescent="0.25">
      <c r="B29" s="10"/>
      <c r="C29" s="10"/>
      <c r="D29" s="9"/>
    </row>
    <row r="30" spans="1:11" x14ac:dyDescent="0.25">
      <c r="B30" s="10"/>
      <c r="C30" s="10"/>
      <c r="D30" s="9"/>
    </row>
    <row r="31" spans="1:11" x14ac:dyDescent="0.25">
      <c r="B31" s="10"/>
      <c r="C31" s="10"/>
      <c r="D31" s="9"/>
    </row>
  </sheetData>
  <phoneticPr fontId="1" type="noConversion"/>
  <pageMargins left="0.7" right="0.7" top="0.75" bottom="0.75" header="0.3" footer="0.3"/>
  <pageSetup paperSize="11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485A0-1A2E-453D-A89B-E378A4E139D1}">
  <dimension ref="B1:C1"/>
  <sheetViews>
    <sheetView workbookViewId="0">
      <selection activeCell="F27" sqref="F27"/>
    </sheetView>
  </sheetViews>
  <sheetFormatPr defaultRowHeight="15" x14ac:dyDescent="0.25"/>
  <cols>
    <col min="1" max="1" width="15.42578125" customWidth="1"/>
    <col min="2" max="3" width="12" customWidth="1"/>
    <col min="4" max="4" width="10.28515625" customWidth="1"/>
  </cols>
  <sheetData>
    <row r="1" spans="2:3" x14ac:dyDescent="0.25">
      <c r="B1" s="13"/>
      <c r="C1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D2AC3-EEC7-441A-9A8A-8FA42F6D64FA}">
  <dimension ref="A1:C50"/>
  <sheetViews>
    <sheetView workbookViewId="0">
      <selection activeCell="G11" sqref="G11"/>
    </sheetView>
  </sheetViews>
  <sheetFormatPr defaultRowHeight="15" x14ac:dyDescent="0.25"/>
  <cols>
    <col min="1" max="1" width="22" style="11" bestFit="1" customWidth="1"/>
    <col min="2" max="2" width="22.7109375" style="11" bestFit="1" customWidth="1"/>
    <col min="3" max="3" width="11.7109375" bestFit="1" customWidth="1"/>
  </cols>
  <sheetData>
    <row r="1" spans="1:3" x14ac:dyDescent="0.25">
      <c r="A1" s="1" t="s">
        <v>1</v>
      </c>
      <c r="B1" s="2" t="s">
        <v>0</v>
      </c>
      <c r="C1" s="11" t="s">
        <v>6</v>
      </c>
    </row>
    <row r="2" spans="1:3" x14ac:dyDescent="0.25">
      <c r="A2" s="16" t="s">
        <v>7</v>
      </c>
      <c r="B2" s="3"/>
      <c r="C2" s="11"/>
    </row>
    <row r="3" spans="1:3" x14ac:dyDescent="0.25">
      <c r="A3" s="16" t="s">
        <v>8</v>
      </c>
      <c r="B3" s="3"/>
      <c r="C3" s="11"/>
    </row>
    <row r="4" spans="1:3" x14ac:dyDescent="0.25">
      <c r="A4" s="16" t="s">
        <v>9</v>
      </c>
      <c r="B4" s="3"/>
      <c r="C4" s="11"/>
    </row>
    <row r="5" spans="1:3" x14ac:dyDescent="0.25">
      <c r="A5" s="16" t="s">
        <v>10</v>
      </c>
      <c r="B5" s="3"/>
      <c r="C5" s="11"/>
    </row>
    <row r="6" spans="1:3" x14ac:dyDescent="0.25">
      <c r="A6" s="16" t="s">
        <v>11</v>
      </c>
      <c r="B6" s="3"/>
      <c r="C6" s="11"/>
    </row>
    <row r="7" spans="1:3" x14ac:dyDescent="0.25">
      <c r="A7" s="16" t="s">
        <v>12</v>
      </c>
      <c r="B7" s="3"/>
      <c r="C7" s="11"/>
    </row>
    <row r="8" spans="1:3" x14ac:dyDescent="0.25">
      <c r="A8" s="16" t="s">
        <v>13</v>
      </c>
      <c r="B8" s="3"/>
      <c r="C8" s="11"/>
    </row>
    <row r="9" spans="1:3" x14ac:dyDescent="0.25">
      <c r="A9" s="16" t="s">
        <v>14</v>
      </c>
      <c r="B9" s="3"/>
      <c r="C9" s="11"/>
    </row>
    <row r="10" spans="1:3" x14ac:dyDescent="0.25">
      <c r="A10" s="16" t="s">
        <v>15</v>
      </c>
      <c r="B10" s="3"/>
      <c r="C10" s="11"/>
    </row>
    <row r="11" spans="1:3" x14ac:dyDescent="0.25">
      <c r="A11" s="16" t="s">
        <v>16</v>
      </c>
      <c r="B11" s="3"/>
      <c r="C11" s="11"/>
    </row>
    <row r="12" spans="1:3" x14ac:dyDescent="0.25">
      <c r="A12" s="16" t="s">
        <v>17</v>
      </c>
      <c r="B12" s="3"/>
      <c r="C12" s="11"/>
    </row>
    <row r="13" spans="1:3" x14ac:dyDescent="0.25">
      <c r="A13" s="16" t="s">
        <v>18</v>
      </c>
      <c r="B13" s="3"/>
      <c r="C13" s="11"/>
    </row>
    <row r="14" spans="1:3" x14ac:dyDescent="0.25">
      <c r="A14" s="16" t="s">
        <v>19</v>
      </c>
      <c r="B14" s="3"/>
      <c r="C14" s="11"/>
    </row>
    <row r="15" spans="1:3" x14ac:dyDescent="0.25">
      <c r="A15" s="16" t="s">
        <v>20</v>
      </c>
      <c r="B15" s="3"/>
      <c r="C15" s="11"/>
    </row>
    <row r="16" spans="1:3" x14ac:dyDescent="0.25">
      <c r="A16" s="16" t="s">
        <v>21</v>
      </c>
      <c r="B16" s="3"/>
      <c r="C16" s="11"/>
    </row>
    <row r="17" spans="1:3" x14ac:dyDescent="0.25">
      <c r="A17" s="16" t="s">
        <v>22</v>
      </c>
      <c r="B17" s="3"/>
      <c r="C17" s="11"/>
    </row>
    <row r="18" spans="1:3" x14ac:dyDescent="0.25">
      <c r="A18" s="16" t="s">
        <v>23</v>
      </c>
      <c r="B18" s="3"/>
      <c r="C18" s="11"/>
    </row>
    <row r="19" spans="1:3" x14ac:dyDescent="0.25">
      <c r="A19" s="16" t="s">
        <v>24</v>
      </c>
      <c r="B19" s="3"/>
      <c r="C19" s="11"/>
    </row>
    <row r="20" spans="1:3" x14ac:dyDescent="0.25">
      <c r="A20" s="16" t="s">
        <v>25</v>
      </c>
      <c r="B20" s="3"/>
      <c r="C20" s="11"/>
    </row>
    <row r="21" spans="1:3" x14ac:dyDescent="0.25">
      <c r="A21" s="16" t="s">
        <v>26</v>
      </c>
      <c r="B21" s="3"/>
      <c r="C21" s="11"/>
    </row>
    <row r="22" spans="1:3" x14ac:dyDescent="0.25">
      <c r="A22" s="14"/>
      <c r="B22" s="3"/>
      <c r="C22" s="11"/>
    </row>
    <row r="23" spans="1:3" x14ac:dyDescent="0.25">
      <c r="A23" s="14"/>
      <c r="B23" s="3"/>
      <c r="C23" s="11"/>
    </row>
    <row r="24" spans="1:3" x14ac:dyDescent="0.25">
      <c r="A24" s="14"/>
      <c r="B24" s="3"/>
      <c r="C24" s="11"/>
    </row>
    <row r="25" spans="1:3" x14ac:dyDescent="0.25">
      <c r="A25" s="14"/>
      <c r="B25" s="3"/>
      <c r="C25" s="11"/>
    </row>
    <row r="26" spans="1:3" x14ac:dyDescent="0.25">
      <c r="A26" s="14"/>
      <c r="B26" s="15"/>
      <c r="C26" s="11"/>
    </row>
    <row r="27" spans="1:3" x14ac:dyDescent="0.25">
      <c r="A27" s="14"/>
      <c r="B27" s="15"/>
      <c r="C27" s="11"/>
    </row>
    <row r="28" spans="1:3" x14ac:dyDescent="0.25">
      <c r="A28" s="14"/>
      <c r="B28" s="15"/>
      <c r="C28" s="11"/>
    </row>
    <row r="29" spans="1:3" x14ac:dyDescent="0.25">
      <c r="A29" s="14"/>
      <c r="B29" s="15"/>
      <c r="C29" s="11"/>
    </row>
    <row r="30" spans="1:3" x14ac:dyDescent="0.25">
      <c r="A30" s="14"/>
      <c r="B30" s="15"/>
      <c r="C30" s="11"/>
    </row>
    <row r="31" spans="1:3" x14ac:dyDescent="0.25">
      <c r="A31" s="14"/>
      <c r="B31" s="15"/>
      <c r="C31" s="11"/>
    </row>
    <row r="32" spans="1:3" x14ac:dyDescent="0.25">
      <c r="A32" s="14"/>
      <c r="B32" s="15"/>
      <c r="C32" s="11"/>
    </row>
    <row r="33" spans="1:3" x14ac:dyDescent="0.25">
      <c r="A33" s="14"/>
      <c r="B33" s="15"/>
      <c r="C33" s="11"/>
    </row>
    <row r="34" spans="1:3" x14ac:dyDescent="0.25">
      <c r="A34" s="14"/>
      <c r="B34" s="15"/>
      <c r="C34" s="11"/>
    </row>
    <row r="35" spans="1:3" x14ac:dyDescent="0.25">
      <c r="A35" s="14"/>
      <c r="B35" s="15"/>
      <c r="C35" s="11"/>
    </row>
    <row r="36" spans="1:3" x14ac:dyDescent="0.25">
      <c r="A36" s="14"/>
      <c r="B36" s="15"/>
      <c r="C36" s="11"/>
    </row>
    <row r="37" spans="1:3" x14ac:dyDescent="0.25">
      <c r="A37" s="14"/>
      <c r="B37" s="15"/>
      <c r="C37" s="11"/>
    </row>
    <row r="38" spans="1:3" x14ac:dyDescent="0.25">
      <c r="A38" s="14"/>
      <c r="B38" s="15"/>
      <c r="C38" s="11"/>
    </row>
    <row r="39" spans="1:3" x14ac:dyDescent="0.25">
      <c r="A39" s="14"/>
      <c r="B39" s="15"/>
      <c r="C39" s="11"/>
    </row>
    <row r="40" spans="1:3" x14ac:dyDescent="0.25">
      <c r="A40" s="14"/>
      <c r="B40" s="15"/>
      <c r="C40" s="11"/>
    </row>
    <row r="41" spans="1:3" x14ac:dyDescent="0.25">
      <c r="A41" s="14"/>
      <c r="B41" s="15"/>
      <c r="C41" s="11"/>
    </row>
    <row r="42" spans="1:3" x14ac:dyDescent="0.25">
      <c r="A42" s="14"/>
      <c r="B42" s="15"/>
      <c r="C42" s="11"/>
    </row>
    <row r="43" spans="1:3" x14ac:dyDescent="0.25">
      <c r="A43" s="14"/>
      <c r="B43" s="15"/>
      <c r="C43" s="11"/>
    </row>
    <row r="44" spans="1:3" x14ac:dyDescent="0.25">
      <c r="A44" s="14"/>
      <c r="B44" s="15"/>
      <c r="C44" s="11"/>
    </row>
    <row r="45" spans="1:3" x14ac:dyDescent="0.25">
      <c r="A45" s="14"/>
      <c r="B45" s="15"/>
      <c r="C45" s="11"/>
    </row>
    <row r="46" spans="1:3" x14ac:dyDescent="0.25">
      <c r="A46" s="14"/>
      <c r="B46" s="15"/>
      <c r="C46" s="11"/>
    </row>
    <row r="47" spans="1:3" x14ac:dyDescent="0.25">
      <c r="A47" s="14"/>
      <c r="B47" s="15"/>
      <c r="C47" s="11"/>
    </row>
    <row r="48" spans="1:3" x14ac:dyDescent="0.25">
      <c r="A48" s="14"/>
      <c r="B48" s="15"/>
      <c r="C48" s="11"/>
    </row>
    <row r="49" spans="1:3" x14ac:dyDescent="0.25">
      <c r="A49" s="14"/>
      <c r="B49" s="15"/>
      <c r="C49" s="11"/>
    </row>
    <row r="50" spans="1:3" x14ac:dyDescent="0.25">
      <c r="A50" s="14"/>
      <c r="B50" s="15"/>
      <c r="C50" s="11"/>
    </row>
  </sheetData>
  <phoneticPr fontId="1" type="noConversion"/>
  <pageMargins left="0.7" right="0.7" top="0.75" bottom="0.75" header="0.3" footer="0.3"/>
  <pageSetup paperSize="11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5D88-8EBE-4D99-8338-9AE41C8D9C23}">
  <dimension ref="A1:C24"/>
  <sheetViews>
    <sheetView workbookViewId="0">
      <selection activeCell="L19" sqref="L19"/>
    </sheetView>
  </sheetViews>
  <sheetFormatPr defaultRowHeight="15" x14ac:dyDescent="0.25"/>
  <cols>
    <col min="1" max="1" width="16.5703125" customWidth="1"/>
    <col min="2" max="2" width="10" customWidth="1"/>
    <col min="3" max="3" width="9.7109375" bestFit="1" customWidth="1"/>
  </cols>
  <sheetData>
    <row r="1" spans="1:3" x14ac:dyDescent="0.25">
      <c r="A1" t="s">
        <v>30</v>
      </c>
      <c r="C1" s="13"/>
    </row>
    <row r="2" spans="1:3" x14ac:dyDescent="0.25">
      <c r="A2" t="s">
        <v>30</v>
      </c>
      <c r="C2" s="13"/>
    </row>
    <row r="3" spans="1:3" x14ac:dyDescent="0.25">
      <c r="A3" t="s">
        <v>30</v>
      </c>
      <c r="C3" s="13"/>
    </row>
    <row r="4" spans="1:3" x14ac:dyDescent="0.25">
      <c r="A4" t="s">
        <v>30</v>
      </c>
      <c r="C4" s="13"/>
    </row>
    <row r="5" spans="1:3" x14ac:dyDescent="0.25">
      <c r="A5" t="s">
        <v>30</v>
      </c>
      <c r="C5" s="13"/>
    </row>
    <row r="6" spans="1:3" x14ac:dyDescent="0.25">
      <c r="A6" t="s">
        <v>30</v>
      </c>
      <c r="C6" s="13"/>
    </row>
    <row r="7" spans="1:3" x14ac:dyDescent="0.25">
      <c r="A7" t="s">
        <v>30</v>
      </c>
      <c r="C7" s="13"/>
    </row>
    <row r="8" spans="1:3" x14ac:dyDescent="0.25">
      <c r="A8" t="s">
        <v>30</v>
      </c>
      <c r="C8" s="13"/>
    </row>
    <row r="9" spans="1:3" x14ac:dyDescent="0.25">
      <c r="A9" t="s">
        <v>30</v>
      </c>
      <c r="C9" s="13"/>
    </row>
    <row r="10" spans="1:3" x14ac:dyDescent="0.25">
      <c r="A10" t="s">
        <v>30</v>
      </c>
      <c r="C10" s="13"/>
    </row>
    <row r="11" spans="1:3" x14ac:dyDescent="0.25">
      <c r="A11" t="s">
        <v>30</v>
      </c>
      <c r="C11" s="13"/>
    </row>
    <row r="12" spans="1:3" x14ac:dyDescent="0.25">
      <c r="A12" t="s">
        <v>30</v>
      </c>
      <c r="C12" s="13"/>
    </row>
    <row r="13" spans="1:3" x14ac:dyDescent="0.25">
      <c r="A13" t="s">
        <v>30</v>
      </c>
    </row>
    <row r="14" spans="1:3" x14ac:dyDescent="0.25">
      <c r="A14" t="s">
        <v>30</v>
      </c>
    </row>
    <row r="15" spans="1:3" x14ac:dyDescent="0.25">
      <c r="A15" t="s">
        <v>30</v>
      </c>
    </row>
    <row r="16" spans="1:3" x14ac:dyDescent="0.25">
      <c r="A16" t="s">
        <v>30</v>
      </c>
    </row>
    <row r="17" spans="1:1" x14ac:dyDescent="0.25">
      <c r="A17" t="s">
        <v>30</v>
      </c>
    </row>
    <row r="18" spans="1:1" x14ac:dyDescent="0.25">
      <c r="A18" t="s">
        <v>30</v>
      </c>
    </row>
    <row r="19" spans="1:1" x14ac:dyDescent="0.25">
      <c r="A19" t="s">
        <v>30</v>
      </c>
    </row>
    <row r="20" spans="1:1" x14ac:dyDescent="0.25">
      <c r="A20" t="s">
        <v>30</v>
      </c>
    </row>
    <row r="21" spans="1:1" x14ac:dyDescent="0.25">
      <c r="A21" t="s">
        <v>30</v>
      </c>
    </row>
    <row r="22" spans="1:1" x14ac:dyDescent="0.25">
      <c r="A22" t="s">
        <v>30</v>
      </c>
    </row>
    <row r="23" spans="1:1" x14ac:dyDescent="0.25">
      <c r="A23" t="s">
        <v>30</v>
      </c>
    </row>
    <row r="24" spans="1:1" x14ac:dyDescent="0.25">
      <c r="A24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CA578-EAE9-4FFD-8254-3CEF063CEB5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Cartridge Label</vt:lpstr>
      <vt:lpstr>&lt;&gt;</vt:lpstr>
      <vt:lpstr>Die Label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Poly6 Floor1</dc:creator>
  <cp:lastModifiedBy>Poly6 Floor1</cp:lastModifiedBy>
  <cp:lastPrinted>2022-03-15T19:36:32Z</cp:lastPrinted>
  <dcterms:created xsi:type="dcterms:W3CDTF">2022-02-24T20:33:13Z</dcterms:created>
  <dcterms:modified xsi:type="dcterms:W3CDTF">2026-01-30T23:11:12Z</dcterms:modified>
</cp:coreProperties>
</file>